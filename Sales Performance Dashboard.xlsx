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defaultThemeVersion="124226"/>
  <bookViews>
    <workbookView xWindow="0" yWindow="36" windowWidth="22980" windowHeight="9552"/>
  </bookViews>
  <sheets>
    <sheet name="Sheet1" sheetId="1" r:id="rId1"/>
    <sheet name="Sheet2" sheetId="2" r:id="rId2"/>
    <sheet name="Sheet3" sheetId="3" r:id="rId3"/>
  </sheets>
  <definedNames>
    <definedName name="Slicer_Category">#N/A</definedName>
    <definedName name="Slicer_Total_Sales">#N/A</definedName>
  </definedNames>
  <calcPr calcId="145621"/>
  <pivotCaches>
    <pivotCache cacheId="0" r:id="rId4"/>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K10" i="1" l="1"/>
  <c r="E25" i="1"/>
  <c r="K6" i="1" s="1"/>
  <c r="G5" i="1"/>
  <c r="G6" i="1"/>
  <c r="G7" i="1"/>
  <c r="G8" i="1"/>
  <c r="G9" i="1"/>
  <c r="G10" i="1"/>
  <c r="G11" i="1"/>
  <c r="G12" i="1"/>
  <c r="G13" i="1"/>
  <c r="G14" i="1"/>
  <c r="G15" i="1"/>
  <c r="G16" i="1"/>
  <c r="G17" i="1"/>
  <c r="G18" i="1"/>
  <c r="G19" i="1"/>
  <c r="G20" i="1"/>
  <c r="G21" i="1"/>
  <c r="G22" i="1"/>
  <c r="G23" i="1"/>
  <c r="G24" i="1"/>
  <c r="K9" i="1" l="1"/>
  <c r="G25" i="1"/>
  <c r="K5" i="1" s="1"/>
  <c r="K7" i="1"/>
  <c r="K8" i="1"/>
</calcChain>
</file>

<file path=xl/sharedStrings.xml><?xml version="1.0" encoding="utf-8"?>
<sst xmlns="http://schemas.openxmlformats.org/spreadsheetml/2006/main" count="133" uniqueCount="45">
  <si>
    <t>Sales Performance Dashboard</t>
  </si>
  <si>
    <t>Sales Data</t>
  </si>
  <si>
    <t>Salesperson</t>
  </si>
  <si>
    <t>Region</t>
  </si>
  <si>
    <t>Product</t>
  </si>
  <si>
    <t>Category</t>
  </si>
  <si>
    <t>Units</t>
  </si>
  <si>
    <t>Unit Price(PKR)</t>
  </si>
  <si>
    <t>Ali</t>
  </si>
  <si>
    <t>Sara</t>
  </si>
  <si>
    <t>Ahmed</t>
  </si>
  <si>
    <t>Hina</t>
  </si>
  <si>
    <t>North</t>
  </si>
  <si>
    <t>South</t>
  </si>
  <si>
    <t>East</t>
  </si>
  <si>
    <t>West</t>
  </si>
  <si>
    <t>Laptop</t>
  </si>
  <si>
    <t>Mouse</t>
  </si>
  <si>
    <t>Keyboard</t>
  </si>
  <si>
    <t>Monitor</t>
  </si>
  <si>
    <t>Printer</t>
  </si>
  <si>
    <t>Chair</t>
  </si>
  <si>
    <t>Desk</t>
  </si>
  <si>
    <t>Electonics</t>
  </si>
  <si>
    <t>Accessories</t>
  </si>
  <si>
    <t>Office</t>
  </si>
  <si>
    <t>Furniture</t>
  </si>
  <si>
    <t>Total Sales</t>
  </si>
  <si>
    <t>KPI</t>
  </si>
  <si>
    <t>Total Revenue</t>
  </si>
  <si>
    <t>Total Unit Sold</t>
  </si>
  <si>
    <t>Average Sale</t>
  </si>
  <si>
    <t>Highest Sale</t>
  </si>
  <si>
    <t>Lowers Sale</t>
  </si>
  <si>
    <t>Number of Sales</t>
  </si>
  <si>
    <t>Values</t>
  </si>
  <si>
    <t>Total</t>
  </si>
  <si>
    <t>Row Labels</t>
  </si>
  <si>
    <t>Grand Total</t>
  </si>
  <si>
    <t>Sum of Total Sales</t>
  </si>
  <si>
    <t>This report showcases the performance of the salers with their products</t>
  </si>
  <si>
    <t>Electronis remaind the best revenue generator with the highest of PKR 194,000</t>
  </si>
  <si>
    <t>Accessories contributed the least with the revenue of PKR 14,400</t>
  </si>
  <si>
    <t>The business can be improved if more is contributed to the electronics</t>
  </si>
  <si>
    <t>Sum of Unit Price(PKR)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</si>
</sst>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PKR]\ * #,##0_);_([$PKR]\ * \(#,##0\);_([$PKR]\ * &quot;-&quot;_);_(@_)"/>
  </numFmts>
  <fonts count="4" x14ac:knownFonts="1">
    <font>
      <sz val="11"/>
      <color theme="1"/>
      <name val="Calibri"/>
      <family val="2"/>
      <scheme val="minor"/>
    </font>
    <font>
      <b/>
      <sz val="11"/>
      <color theme="1"/>
      <name val="Calibri"/>
      <family val="2"/>
      <scheme val="minor"/>
    </font>
    <font>
      <b/>
      <sz val="18"/>
      <color theme="0"/>
      <name val="Calibri"/>
      <family val="2"/>
      <scheme val="minor"/>
    </font>
    <font>
      <b/>
      <sz val="14"/>
      <color theme="1"/>
      <name val="Calibri"/>
      <family val="2"/>
      <scheme val="minor"/>
    </font>
  </fonts>
  <fills count="3">
    <fill>
      <patternFill patternType="none"/>
    </fill>
    <fill>
      <patternFill patternType="gray125"/>
    </fill>
    <fill>
      <patternFill patternType="solid">
        <fgColor theme="3"/>
        <bgColor indexed="64"/>
      </patternFill>
    </fill>
  </fills>
  <borders count="9">
    <border>
      <left/>
      <right/>
      <top/>
      <bottom/>
      <diagonal/>
    </border>
    <border>
      <left/>
      <right/>
      <top/>
      <bottom style="thin">
        <color indexed="64"/>
      </bottom>
      <diagonal/>
    </border>
    <border>
      <left/>
      <right/>
      <top style="thin">
        <color indexed="64"/>
      </top>
      <bottom style="double">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19">
    <xf numFmtId="0" fontId="0" fillId="0" borderId="0" xfId="0"/>
    <xf numFmtId="0" fontId="0" fillId="2" borderId="0" xfId="0" applyFill="1"/>
    <xf numFmtId="0" fontId="2" fillId="2" borderId="0" xfId="0" applyFont="1" applyFill="1" applyAlignment="1">
      <alignment horizontal="centerContinuous"/>
    </xf>
    <xf numFmtId="0" fontId="3" fillId="0" borderId="0" xfId="0" applyFont="1"/>
    <xf numFmtId="0" fontId="1" fillId="0" borderId="1" xfId="0" applyFont="1" applyBorder="1"/>
    <xf numFmtId="0" fontId="0" fillId="0" borderId="2" xfId="0" applyFont="1" applyBorder="1"/>
    <xf numFmtId="0" fontId="1" fillId="0" borderId="2" xfId="0" applyFont="1" applyBorder="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4" fontId="0" fillId="0" borderId="2" xfId="0" applyNumberFormat="1" applyFont="1" applyBorder="1"/>
    <xf numFmtId="0" fontId="0" fillId="0" borderId="3" xfId="0" applyBorder="1"/>
    <xf numFmtId="164" fontId="0" fillId="0" borderId="4" xfId="0" applyNumberFormat="1" applyBorder="1"/>
    <xf numFmtId="3" fontId="0" fillId="0" borderId="4" xfId="0" applyNumberFormat="1" applyBorder="1"/>
    <xf numFmtId="0" fontId="0" fillId="0" borderId="5" xfId="0" applyBorder="1"/>
    <xf numFmtId="1" fontId="0" fillId="0" borderId="6" xfId="0" applyNumberFormat="1" applyBorder="1"/>
    <xf numFmtId="0" fontId="0" fillId="0" borderId="7" xfId="0" applyBorder="1"/>
    <xf numFmtId="0" fontId="0" fillId="0" borderId="8" xfId="0" applyBorder="1"/>
  </cellXfs>
  <cellStyles count="1">
    <cellStyle name="Normal" xfId="0" builtinId="0"/>
  </cellStyles>
  <dxfs count="13">
    <dxf>
      <numFmt numFmtId="164" formatCode="_([$PKR]\ * #,##0_);_([$PKR]\ * \(#,##0\);_([$PKR]\ * &quot;-&quot;_);_(@_)"/>
    </dxf>
    <dxf>
      <font>
        <b val="0"/>
      </font>
    </dxf>
    <dxf>
      <numFmt numFmtId="164" formatCode="_([$PKR]\ * #,##0_);_([$PKR]\ * \(#,##0\);_([$PKR]\ * &quot;-&quot;_);_(@_)"/>
    </dxf>
    <dxf>
      <font>
        <b val="0"/>
      </font>
    </dxf>
    <dxf>
      <font>
        <b val="0"/>
      </font>
    </dxf>
    <dxf>
      <font>
        <b val="0"/>
      </font>
    </dxf>
    <dxf>
      <font>
        <b val="0"/>
      </font>
    </dxf>
    <dxf>
      <font>
        <b/>
      </font>
    </dxf>
    <dxf>
      <border>
        <top style="thin">
          <color indexed="64"/>
        </top>
      </border>
    </dxf>
    <dxf>
      <font>
        <b val="0"/>
      </font>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 Sales Performance Dashboard.xlsx]Sheet2!PivotTable3</c:name>
    <c:fmtId val="0"/>
  </c:pivotSource>
  <c:chart>
    <c:title>
      <c:tx>
        <c:rich>
          <a:bodyPr/>
          <a:lstStyle/>
          <a:p>
            <a:pPr>
              <a:defRPr/>
            </a:pPr>
            <a:r>
              <a:rPr lang="en-US" sz="1800" b="1" i="0" u="none" strike="noStrike" baseline="0"/>
              <a:t>Revenue by Salesperson</a:t>
            </a:r>
            <a:endParaRPr lang="en-US"/>
          </a:p>
        </c:rich>
      </c:tx>
      <c:layout>
        <c:manualLayout>
          <c:xMode val="edge"/>
          <c:yMode val="edge"/>
          <c:x val="0.31393689425185495"/>
          <c:y val="7.3053368328958881E-2"/>
        </c:manualLayout>
      </c:layout>
      <c:overlay val="0"/>
    </c:title>
    <c:autoTitleDeleted val="0"/>
    <c:pivotFmts>
      <c:pivotFmt>
        <c:idx val="0"/>
        <c:spPr>
          <a:solidFill>
            <a:schemeClr val="tx2"/>
          </a:solidFill>
          <a:ln>
            <a:solidFill>
              <a:srgbClr val="C00000"/>
            </a:solidFill>
          </a:ln>
        </c:spPr>
        <c:marker>
          <c:symbol val="none"/>
        </c:marker>
      </c:pivotFmt>
      <c:pivotFmt>
        <c:idx val="1"/>
        <c:marker>
          <c:symbol val="none"/>
        </c:marker>
      </c:pivotFmt>
    </c:pivotFmts>
    <c:plotArea>
      <c:layout/>
      <c:barChart>
        <c:barDir val="bar"/>
        <c:grouping val="clustered"/>
        <c:varyColors val="0"/>
        <c:ser>
          <c:idx val="0"/>
          <c:order val="0"/>
          <c:tx>
            <c:strRef>
              <c:f>Sheet2!$F$2</c:f>
              <c:strCache>
                <c:ptCount val="1"/>
                <c:pt idx="0">
                  <c:v>Total</c:v>
                </c:pt>
              </c:strCache>
            </c:strRef>
          </c:tx>
          <c:spPr>
            <a:solidFill>
              <a:schemeClr val="tx2"/>
            </a:solidFill>
            <a:ln>
              <a:solidFill>
                <a:srgbClr val="C00000"/>
              </a:solidFill>
            </a:ln>
          </c:spPr>
          <c:invertIfNegative val="0"/>
          <c:cat>
            <c:strRef>
              <c:f>Sheet2!$E$3:$E$7</c:f>
              <c:strCache>
                <c:ptCount val="4"/>
                <c:pt idx="0">
                  <c:v>Ahmed</c:v>
                </c:pt>
                <c:pt idx="1">
                  <c:v>Ali</c:v>
                </c:pt>
                <c:pt idx="2">
                  <c:v>Hina</c:v>
                </c:pt>
                <c:pt idx="3">
                  <c:v>Sara</c:v>
                </c:pt>
              </c:strCache>
            </c:strRef>
          </c:cat>
          <c:val>
            <c:numRef>
              <c:f>Sheet2!$F$3:$F$7</c:f>
              <c:numCache>
                <c:formatCode>General</c:formatCode>
                <c:ptCount val="4"/>
                <c:pt idx="0">
                  <c:v>227500</c:v>
                </c:pt>
                <c:pt idx="1">
                  <c:v>385000</c:v>
                </c:pt>
                <c:pt idx="2">
                  <c:v>510100</c:v>
                </c:pt>
                <c:pt idx="3">
                  <c:v>211900</c:v>
                </c:pt>
              </c:numCache>
            </c:numRef>
          </c:val>
        </c:ser>
        <c:dLbls>
          <c:showLegendKey val="0"/>
          <c:showVal val="0"/>
          <c:showCatName val="0"/>
          <c:showSerName val="0"/>
          <c:showPercent val="0"/>
          <c:showBubbleSize val="0"/>
        </c:dLbls>
        <c:gapWidth val="150"/>
        <c:axId val="156527616"/>
        <c:axId val="156546176"/>
      </c:barChart>
      <c:catAx>
        <c:axId val="156527616"/>
        <c:scaling>
          <c:orientation val="minMax"/>
        </c:scaling>
        <c:delete val="0"/>
        <c:axPos val="l"/>
        <c:majorTickMark val="out"/>
        <c:minorTickMark val="none"/>
        <c:tickLblPos val="nextTo"/>
        <c:crossAx val="156546176"/>
        <c:crosses val="autoZero"/>
        <c:auto val="1"/>
        <c:lblAlgn val="ctr"/>
        <c:lblOffset val="100"/>
        <c:noMultiLvlLbl val="0"/>
      </c:catAx>
      <c:valAx>
        <c:axId val="156546176"/>
        <c:scaling>
          <c:orientation val="minMax"/>
        </c:scaling>
        <c:delete val="0"/>
        <c:axPos val="b"/>
        <c:majorGridlines/>
        <c:numFmt formatCode="General" sourceLinked="1"/>
        <c:majorTickMark val="out"/>
        <c:minorTickMark val="none"/>
        <c:tickLblPos val="nextTo"/>
        <c:crossAx val="15652761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 Sales Performance Dashboard.xlsx]Sheet2!PivotTable4</c:name>
    <c:fmtId val="0"/>
  </c:pivotSource>
  <c:chart>
    <c:title>
      <c:tx>
        <c:rich>
          <a:bodyPr/>
          <a:lstStyle/>
          <a:p>
            <a:pPr>
              <a:defRPr/>
            </a:pPr>
            <a:r>
              <a:rPr lang="en-US"/>
              <a:t>Sales by Region</a:t>
            </a:r>
          </a:p>
        </c:rich>
      </c:tx>
      <c:layout/>
      <c:overlay val="0"/>
    </c:title>
    <c:autoTitleDeleted val="0"/>
    <c:pivotFmts>
      <c:pivotFmt>
        <c:idx val="0"/>
        <c:spPr>
          <a:solidFill>
            <a:schemeClr val="tx2"/>
          </a:solidFill>
        </c:spPr>
        <c:marker>
          <c:symbol val="none"/>
        </c:marker>
        <c:dLbl>
          <c:idx val="0"/>
          <c:layout/>
          <c:spPr/>
          <c:txPr>
            <a:bodyPr/>
            <a:lstStyle/>
            <a:p>
              <a:pPr>
                <a:defRPr>
                  <a:solidFill>
                    <a:schemeClr val="bg1"/>
                  </a:solidFill>
                </a:defRPr>
              </a:pPr>
              <a:endParaRPr lang="en-US"/>
            </a:p>
          </c:txPr>
          <c:dLblPos val="ctr"/>
          <c:showLegendKey val="0"/>
          <c:showVal val="1"/>
          <c:showCatName val="0"/>
          <c:showSerName val="0"/>
          <c:showPercent val="0"/>
          <c:showBubbleSize val="0"/>
        </c:dLbl>
      </c:pivotFmt>
      <c:pivotFmt>
        <c:idx val="1"/>
      </c:pivotFmt>
      <c:pivotFmt>
        <c:idx val="2"/>
      </c:pivotFmt>
      <c:pivotFmt>
        <c:idx val="3"/>
      </c:pivotFmt>
    </c:pivotFmts>
    <c:plotArea>
      <c:layout/>
      <c:barChart>
        <c:barDir val="bar"/>
        <c:grouping val="clustered"/>
        <c:varyColors val="0"/>
        <c:ser>
          <c:idx val="0"/>
          <c:order val="0"/>
          <c:tx>
            <c:strRef>
              <c:f>Sheet2!$J$2</c:f>
              <c:strCache>
                <c:ptCount val="1"/>
                <c:pt idx="0">
                  <c:v>Total</c:v>
                </c:pt>
              </c:strCache>
            </c:strRef>
          </c:tx>
          <c:spPr>
            <a:solidFill>
              <a:schemeClr val="tx2"/>
            </a:solidFill>
          </c:spPr>
          <c:invertIfNegative val="0"/>
          <c:dPt>
            <c:idx val="0"/>
            <c:invertIfNegative val="0"/>
            <c:bubble3D val="0"/>
          </c:dPt>
          <c:dPt>
            <c:idx val="1"/>
            <c:invertIfNegative val="0"/>
            <c:bubble3D val="0"/>
          </c:dPt>
          <c:dPt>
            <c:idx val="2"/>
            <c:invertIfNegative val="0"/>
            <c:bubble3D val="0"/>
          </c:dPt>
          <c:dLbls>
            <c:spPr/>
            <c:txPr>
              <a:bodyPr/>
              <a:lstStyle/>
              <a:p>
                <a:pPr>
                  <a:defRPr>
                    <a:solidFill>
                      <a:schemeClr val="bg1"/>
                    </a:solidFill>
                  </a:defRPr>
                </a:pPr>
                <a:endParaRPr lang="en-US"/>
              </a:p>
            </c:txPr>
            <c:dLblPos val="ctr"/>
            <c:showLegendKey val="0"/>
            <c:showVal val="1"/>
            <c:showCatName val="0"/>
            <c:showSerName val="0"/>
            <c:showPercent val="0"/>
            <c:showBubbleSize val="0"/>
            <c:showLeaderLines val="0"/>
          </c:dLbls>
          <c:cat>
            <c:strRef>
              <c:f>Sheet2!$I$3:$I$7</c:f>
              <c:strCache>
                <c:ptCount val="4"/>
                <c:pt idx="0">
                  <c:v>East</c:v>
                </c:pt>
                <c:pt idx="1">
                  <c:v>North</c:v>
                </c:pt>
                <c:pt idx="2">
                  <c:v>South</c:v>
                </c:pt>
                <c:pt idx="3">
                  <c:v>West</c:v>
                </c:pt>
              </c:strCache>
            </c:strRef>
          </c:cat>
          <c:val>
            <c:numRef>
              <c:f>Sheet2!$J$3:$J$7</c:f>
              <c:numCache>
                <c:formatCode>General</c:formatCode>
                <c:ptCount val="4"/>
                <c:pt idx="0">
                  <c:v>227500</c:v>
                </c:pt>
                <c:pt idx="1">
                  <c:v>385000</c:v>
                </c:pt>
                <c:pt idx="2">
                  <c:v>211900</c:v>
                </c:pt>
                <c:pt idx="3">
                  <c:v>510100</c:v>
                </c:pt>
              </c:numCache>
            </c:numRef>
          </c:val>
        </c:ser>
        <c:dLbls>
          <c:showLegendKey val="0"/>
          <c:showVal val="0"/>
          <c:showCatName val="0"/>
          <c:showSerName val="0"/>
          <c:showPercent val="0"/>
          <c:showBubbleSize val="0"/>
        </c:dLbls>
        <c:gapWidth val="150"/>
        <c:axId val="150396288"/>
        <c:axId val="150394752"/>
      </c:barChart>
      <c:valAx>
        <c:axId val="150394752"/>
        <c:scaling>
          <c:orientation val="minMax"/>
        </c:scaling>
        <c:delete val="0"/>
        <c:axPos val="b"/>
        <c:majorGridlines/>
        <c:numFmt formatCode="General" sourceLinked="1"/>
        <c:majorTickMark val="out"/>
        <c:minorTickMark val="none"/>
        <c:tickLblPos val="nextTo"/>
        <c:crossAx val="150396288"/>
        <c:crosses val="autoZero"/>
        <c:crossBetween val="between"/>
      </c:valAx>
      <c:catAx>
        <c:axId val="150396288"/>
        <c:scaling>
          <c:orientation val="minMax"/>
        </c:scaling>
        <c:delete val="0"/>
        <c:axPos val="l"/>
        <c:majorTickMark val="out"/>
        <c:minorTickMark val="none"/>
        <c:tickLblPos val="nextTo"/>
        <c:crossAx val="150394752"/>
        <c:crosses val="autoZero"/>
        <c:auto val="1"/>
        <c:lblAlgn val="ctr"/>
        <c:lblOffset val="100"/>
        <c:noMultiLvlLbl val="0"/>
      </c:cat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Revenue by Category</a:t>
            </a:r>
          </a:p>
        </c:rich>
      </c:tx>
      <c:layout/>
      <c:overlay val="0"/>
    </c:title>
    <c:autoTitleDeleted val="0"/>
    <c:pivotFmts>
      <c:pivotFmt>
        <c:idx val="0"/>
        <c:spPr>
          <a:solidFill>
            <a:schemeClr val="tx2"/>
          </a:solidFill>
          <a:ln>
            <a:solidFill>
              <a:srgbClr val="C00000"/>
            </a:solidFill>
          </a:ln>
        </c:spPr>
        <c:marker>
          <c:symbol val="none"/>
        </c:marker>
      </c:pivotFmt>
    </c:pivotFmts>
    <c:plotArea>
      <c:layout/>
      <c:barChart>
        <c:barDir val="col"/>
        <c:grouping val="clustered"/>
        <c:varyColors val="0"/>
        <c:ser>
          <c:idx val="0"/>
          <c:order val="0"/>
          <c:tx>
            <c:v>Total</c:v>
          </c:tx>
          <c:spPr>
            <a:solidFill>
              <a:schemeClr val="tx2"/>
            </a:solidFill>
            <a:ln>
              <a:solidFill>
                <a:srgbClr val="C00000"/>
              </a:solidFill>
            </a:ln>
          </c:spPr>
          <c:invertIfNegative val="0"/>
          <c:cat>
            <c:strLit>
              <c:ptCount val="4"/>
              <c:pt idx="0">
                <c:v>Accessories</c:v>
              </c:pt>
              <c:pt idx="1">
                <c:v>Electonics</c:v>
              </c:pt>
              <c:pt idx="2">
                <c:v>Furniture</c:v>
              </c:pt>
              <c:pt idx="3">
                <c:v>Office</c:v>
              </c:pt>
            </c:strLit>
          </c:cat>
          <c:val>
            <c:numLit>
              <c:formatCode>General</c:formatCode>
              <c:ptCount val="4"/>
              <c:pt idx="0">
                <c:v>112000</c:v>
              </c:pt>
              <c:pt idx="1">
                <c:v>832000</c:v>
              </c:pt>
              <c:pt idx="2">
                <c:v>249000</c:v>
              </c:pt>
              <c:pt idx="3">
                <c:v>141500</c:v>
              </c:pt>
            </c:numLit>
          </c:val>
        </c:ser>
        <c:dLbls>
          <c:showLegendKey val="0"/>
          <c:showVal val="0"/>
          <c:showCatName val="0"/>
          <c:showSerName val="0"/>
          <c:showPercent val="0"/>
          <c:showBubbleSize val="0"/>
        </c:dLbls>
        <c:gapWidth val="150"/>
        <c:axId val="150748544"/>
        <c:axId val="150754432"/>
      </c:barChart>
      <c:catAx>
        <c:axId val="150748544"/>
        <c:scaling>
          <c:orientation val="minMax"/>
        </c:scaling>
        <c:delete val="0"/>
        <c:axPos val="b"/>
        <c:majorTickMark val="out"/>
        <c:minorTickMark val="none"/>
        <c:tickLblPos val="nextTo"/>
        <c:crossAx val="150754432"/>
        <c:crosses val="autoZero"/>
        <c:auto val="1"/>
        <c:lblAlgn val="ctr"/>
        <c:lblOffset val="100"/>
        <c:noMultiLvlLbl val="0"/>
      </c:catAx>
      <c:valAx>
        <c:axId val="150754432"/>
        <c:scaling>
          <c:orientation val="minMax"/>
        </c:scaling>
        <c:delete val="0"/>
        <c:axPos val="l"/>
        <c:majorGridlines/>
        <c:numFmt formatCode="General" sourceLinked="1"/>
        <c:majorTickMark val="out"/>
        <c:minorTickMark val="none"/>
        <c:tickLblPos val="nextTo"/>
        <c:crossAx val="15074854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 Sales Performance Dashboard.xlsx]Sheet1!PivotTable1</c:name>
    <c:fmtId val="0"/>
  </c:pivotSource>
  <c:chart>
    <c:title>
      <c:tx>
        <c:rich>
          <a:bodyPr/>
          <a:lstStyle/>
          <a:p>
            <a:pPr>
              <a:defRPr/>
            </a:pPr>
            <a:r>
              <a:rPr lang="en-US" sz="1800" b="1" i="0" u="none" strike="noStrike" baseline="0"/>
              <a:t>Revenue by Product</a:t>
            </a:r>
            <a:endParaRPr lang="en-US"/>
          </a:p>
        </c:rich>
      </c:tx>
      <c:layout>
        <c:manualLayout>
          <c:xMode val="edge"/>
          <c:yMode val="edge"/>
          <c:x val="0.43000000000000005"/>
          <c:y val="6.8423738699329245E-2"/>
        </c:manualLayout>
      </c:layout>
      <c:overlay val="0"/>
    </c:title>
    <c:autoTitleDeleted val="0"/>
    <c:pivotFmts>
      <c:pivotFmt>
        <c:idx val="0"/>
        <c:spPr>
          <a:ln>
            <a:solidFill>
              <a:schemeClr val="tx2"/>
            </a:solidFill>
          </a:ln>
        </c:spPr>
        <c:marker>
          <c:symbol val="none"/>
        </c:marker>
      </c:pivotFmt>
    </c:pivotFmts>
    <c:plotArea>
      <c:layout/>
      <c:lineChart>
        <c:grouping val="standard"/>
        <c:varyColors val="0"/>
        <c:ser>
          <c:idx val="0"/>
          <c:order val="0"/>
          <c:tx>
            <c:strRef>
              <c:f>Sheet1!$Q$46</c:f>
              <c:strCache>
                <c:ptCount val="1"/>
                <c:pt idx="0">
                  <c:v>Total</c:v>
                </c:pt>
              </c:strCache>
            </c:strRef>
          </c:tx>
          <c:spPr>
            <a:ln>
              <a:solidFill>
                <a:schemeClr val="tx2"/>
              </a:solidFill>
            </a:ln>
          </c:spPr>
          <c:marker>
            <c:symbol val="none"/>
          </c:marker>
          <c:cat>
            <c:strRef>
              <c:f>Sheet1!$P$47:$P$54</c:f>
              <c:strCache>
                <c:ptCount val="7"/>
                <c:pt idx="0">
                  <c:v>Chair</c:v>
                </c:pt>
                <c:pt idx="1">
                  <c:v>Desk</c:v>
                </c:pt>
                <c:pt idx="2">
                  <c:v>Keyboard</c:v>
                </c:pt>
                <c:pt idx="3">
                  <c:v>Laptop</c:v>
                </c:pt>
                <c:pt idx="4">
                  <c:v>Monitor</c:v>
                </c:pt>
                <c:pt idx="5">
                  <c:v>Mouse</c:v>
                </c:pt>
                <c:pt idx="6">
                  <c:v>Printer</c:v>
                </c:pt>
              </c:strCache>
            </c:strRef>
          </c:cat>
          <c:val>
            <c:numRef>
              <c:f>Sheet1!$Q$47:$Q$54</c:f>
              <c:numCache>
                <c:formatCode>General</c:formatCode>
                <c:ptCount val="7"/>
                <c:pt idx="0">
                  <c:v>23800</c:v>
                </c:pt>
                <c:pt idx="1">
                  <c:v>106500</c:v>
                </c:pt>
                <c:pt idx="2">
                  <c:v>9750</c:v>
                </c:pt>
                <c:pt idx="3">
                  <c:v>386000</c:v>
                </c:pt>
                <c:pt idx="4">
                  <c:v>127500</c:v>
                </c:pt>
                <c:pt idx="5">
                  <c:v>5350</c:v>
                </c:pt>
                <c:pt idx="6">
                  <c:v>56500</c:v>
                </c:pt>
              </c:numCache>
            </c:numRef>
          </c:val>
          <c:smooth val="0"/>
        </c:ser>
        <c:dLbls>
          <c:showLegendKey val="0"/>
          <c:showVal val="0"/>
          <c:showCatName val="0"/>
          <c:showSerName val="0"/>
          <c:showPercent val="0"/>
          <c:showBubbleSize val="0"/>
        </c:dLbls>
        <c:marker val="1"/>
        <c:smooth val="0"/>
        <c:axId val="150764544"/>
        <c:axId val="150782720"/>
      </c:lineChart>
      <c:catAx>
        <c:axId val="150764544"/>
        <c:scaling>
          <c:orientation val="minMax"/>
        </c:scaling>
        <c:delete val="0"/>
        <c:axPos val="b"/>
        <c:majorTickMark val="out"/>
        <c:minorTickMark val="none"/>
        <c:tickLblPos val="nextTo"/>
        <c:crossAx val="150782720"/>
        <c:crosses val="autoZero"/>
        <c:auto val="1"/>
        <c:lblAlgn val="ctr"/>
        <c:lblOffset val="100"/>
        <c:noMultiLvlLbl val="0"/>
      </c:catAx>
      <c:valAx>
        <c:axId val="150782720"/>
        <c:scaling>
          <c:orientation val="minMax"/>
        </c:scaling>
        <c:delete val="0"/>
        <c:axPos val="l"/>
        <c:majorGridlines/>
        <c:numFmt formatCode="General" sourceLinked="1"/>
        <c:majorTickMark val="out"/>
        <c:minorTickMark val="none"/>
        <c:tickLblPos val="nextTo"/>
        <c:crossAx val="15076454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42455</xdr:colOff>
      <xdr:row>42</xdr:row>
      <xdr:rowOff>14152</xdr:rowOff>
    </xdr:from>
    <xdr:to>
      <xdr:col>6</xdr:col>
      <xdr:colOff>695598</xdr:colOff>
      <xdr:row>57</xdr:row>
      <xdr:rowOff>14152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59872</xdr:colOff>
      <xdr:row>25</xdr:row>
      <xdr:rowOff>123008</xdr:rowOff>
    </xdr:from>
    <xdr:to>
      <xdr:col>5</xdr:col>
      <xdr:colOff>969917</xdr:colOff>
      <xdr:row>40</xdr:row>
      <xdr:rowOff>119742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19594</xdr:colOff>
      <xdr:row>25</xdr:row>
      <xdr:rowOff>114845</xdr:rowOff>
    </xdr:from>
    <xdr:to>
      <xdr:col>13</xdr:col>
      <xdr:colOff>1034143</xdr:colOff>
      <xdr:row>40</xdr:row>
      <xdr:rowOff>103959</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xdr:colOff>
      <xdr:row>42</xdr:row>
      <xdr:rowOff>168728</xdr:rowOff>
    </xdr:from>
    <xdr:to>
      <xdr:col>14</xdr:col>
      <xdr:colOff>43542</xdr:colOff>
      <xdr:row>57</xdr:row>
      <xdr:rowOff>136071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144780</xdr:colOff>
      <xdr:row>8</xdr:row>
      <xdr:rowOff>114300</xdr:rowOff>
    </xdr:from>
    <xdr:to>
      <xdr:col>1</xdr:col>
      <xdr:colOff>1112520</xdr:colOff>
      <xdr:row>22</xdr:row>
      <xdr:rowOff>20955</xdr:rowOff>
    </xdr:to>
    <mc:AlternateContent xmlns:mc="http://schemas.openxmlformats.org/markup-compatibility/2006" xmlns:a14="http://schemas.microsoft.com/office/drawing/2010/main">
      <mc:Choice Requires="a14">
        <xdr:graphicFrame macro="">
          <xdr:nvGraphicFramePr>
            <xdr:cNvPr id="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4780" y="15773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259080</xdr:colOff>
      <xdr:row>8</xdr:row>
      <xdr:rowOff>114300</xdr:rowOff>
    </xdr:from>
    <xdr:to>
      <xdr:col>5</xdr:col>
      <xdr:colOff>7620</xdr:colOff>
      <xdr:row>22</xdr:row>
      <xdr:rowOff>20955</xdr:rowOff>
    </xdr:to>
    <mc:AlternateContent xmlns:mc="http://schemas.openxmlformats.org/markup-compatibility/2006" xmlns:a14="http://schemas.microsoft.com/office/drawing/2010/main">
      <mc:Choice Requires="a14">
        <xdr:graphicFrame macro="">
          <xdr:nvGraphicFramePr>
            <xdr:cNvPr id="4" name="Total Sales"/>
            <xdr:cNvGraphicFramePr/>
          </xdr:nvGraphicFramePr>
          <xdr:xfrm>
            <a:off x="0" y="0"/>
            <a:ext cx="0" cy="0"/>
          </xdr:xfrm>
          <a:graphic>
            <a:graphicData uri="http://schemas.microsoft.com/office/drawing/2010/slicer">
              <sle:slicer xmlns:sle="http://schemas.microsoft.com/office/drawing/2010/slicer" name="Total Sales"/>
            </a:graphicData>
          </a:graphic>
        </xdr:graphicFrame>
      </mc:Choice>
      <mc:Fallback xmlns="">
        <xdr:sp macro="" textlink="">
          <xdr:nvSpPr>
            <xdr:cNvPr id="0" name=""/>
            <xdr:cNvSpPr>
              <a:spLocks noTextEdit="1"/>
            </xdr:cNvSpPr>
          </xdr:nvSpPr>
          <xdr:spPr>
            <a:xfrm>
              <a:off x="2247900" y="15773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ITSME" refreshedDate="46211.751763888889" createdVersion="4" refreshedVersion="4" minRefreshableVersion="3" recordCount="20">
  <cacheSource type="worksheet">
    <worksheetSource name="Table1[[Category]:[Total Sales]]"/>
  </cacheSource>
  <cacheFields count="4">
    <cacheField name="Category" numFmtId="0">
      <sharedItems count="4">
        <s v="Electonics"/>
        <s v="Accessories"/>
        <s v="Office"/>
        <s v="Furniture"/>
      </sharedItems>
    </cacheField>
    <cacheField name="Units" numFmtId="0">
      <sharedItems containsSemiMixedTypes="0" containsString="0" containsNumber="1" containsInteger="1" minValue="1" maxValue="12"/>
    </cacheField>
    <cacheField name="Unit Price(PKR)" numFmtId="0">
      <sharedItems containsSemiMixedTypes="0" containsString="0" containsNumber="1" containsInteger="1" minValue="1750" maxValue="98000" count="19">
        <n v="95000"/>
        <n v="1800"/>
        <n v="3200"/>
        <n v="42000"/>
        <n v="28000"/>
        <n v="12000"/>
        <n v="35000"/>
        <n v="97000"/>
        <n v="43000"/>
        <n v="98000"/>
        <n v="3300"/>
        <n v="36000"/>
        <n v="28500"/>
        <n v="11800"/>
        <n v="96000"/>
        <n v="42500"/>
        <n v="1750"/>
        <n v="3250"/>
        <n v="35500"/>
      </sharedItems>
    </cacheField>
    <cacheField name="Total Sales" numFmtId="0">
      <sharedItems containsSemiMixedTypes="0" containsString="0" containsNumber="1" containsInteger="1" minValue="14400" maxValue="194000" count="20">
        <n v="190000"/>
        <n v="14400"/>
        <n v="16000"/>
        <n v="126000"/>
        <n v="56000"/>
        <n v="48000"/>
        <n v="35000"/>
        <n v="194000"/>
        <n v="18000"/>
        <n v="43000"/>
        <n v="98000"/>
        <n v="23100"/>
        <n v="36000"/>
        <n v="85500"/>
        <n v="59000"/>
        <n v="96000"/>
        <n v="85000"/>
        <n v="21000"/>
        <n v="19500"/>
        <n v="7100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ITSME" refreshedDate="46211.752279050925" createdVersion="4" refreshedVersion="4" minRefreshableVersion="3" recordCount="20">
  <cacheSource type="worksheet">
    <worksheetSource name="Table1"/>
  </cacheSource>
  <cacheFields count="7">
    <cacheField name="Salesperson" numFmtId="0">
      <sharedItems count="4">
        <s v="Ali"/>
        <s v="Sara"/>
        <s v="Ahmed"/>
        <s v="Hina"/>
      </sharedItems>
    </cacheField>
    <cacheField name="Region" numFmtId="0">
      <sharedItems count="4">
        <s v="North"/>
        <s v="South"/>
        <s v="East"/>
        <s v="West"/>
      </sharedItems>
    </cacheField>
    <cacheField name="Product" numFmtId="0">
      <sharedItems count="7">
        <s v="Laptop"/>
        <s v="Mouse"/>
        <s v="Keyboard"/>
        <s v="Monitor"/>
        <s v="Printer"/>
        <s v="Chair"/>
        <s v="Desk"/>
      </sharedItems>
    </cacheField>
    <cacheField name="Category" numFmtId="0">
      <sharedItems count="4">
        <s v="Electonics"/>
        <s v="Accessories"/>
        <s v="Office"/>
        <s v="Furniture"/>
      </sharedItems>
    </cacheField>
    <cacheField name="Units" numFmtId="0">
      <sharedItems containsSemiMixedTypes="0" containsString="0" containsNumber="1" containsInteger="1" minValue="1" maxValue="12"/>
    </cacheField>
    <cacheField name="Unit Price(PKR)" numFmtId="0">
      <sharedItems containsSemiMixedTypes="0" containsString="0" containsNumber="1" containsInteger="1" minValue="1750" maxValue="98000"/>
    </cacheField>
    <cacheField name="Total Sales" numFmtId="0">
      <sharedItems containsSemiMixedTypes="0" containsString="0" containsNumber="1" containsInteger="1" minValue="14400" maxValue="194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0">
  <r>
    <x v="0"/>
    <n v="2"/>
    <x v="0"/>
    <x v="0"/>
  </r>
  <r>
    <x v="1"/>
    <n v="8"/>
    <x v="1"/>
    <x v="1"/>
  </r>
  <r>
    <x v="1"/>
    <n v="5"/>
    <x v="2"/>
    <x v="2"/>
  </r>
  <r>
    <x v="0"/>
    <n v="3"/>
    <x v="3"/>
    <x v="3"/>
  </r>
  <r>
    <x v="2"/>
    <n v="2"/>
    <x v="4"/>
    <x v="4"/>
  </r>
  <r>
    <x v="3"/>
    <n v="4"/>
    <x v="5"/>
    <x v="5"/>
  </r>
  <r>
    <x v="3"/>
    <n v="1"/>
    <x v="6"/>
    <x v="6"/>
  </r>
  <r>
    <x v="0"/>
    <n v="2"/>
    <x v="7"/>
    <x v="7"/>
  </r>
  <r>
    <x v="1"/>
    <n v="10"/>
    <x v="1"/>
    <x v="8"/>
  </r>
  <r>
    <x v="0"/>
    <n v="1"/>
    <x v="8"/>
    <x v="9"/>
  </r>
  <r>
    <x v="0"/>
    <n v="1"/>
    <x v="9"/>
    <x v="10"/>
  </r>
  <r>
    <x v="1"/>
    <n v="7"/>
    <x v="10"/>
    <x v="11"/>
  </r>
  <r>
    <x v="3"/>
    <n v="1"/>
    <x v="11"/>
    <x v="12"/>
  </r>
  <r>
    <x v="2"/>
    <n v="3"/>
    <x v="12"/>
    <x v="13"/>
  </r>
  <r>
    <x v="3"/>
    <n v="5"/>
    <x v="13"/>
    <x v="14"/>
  </r>
  <r>
    <x v="0"/>
    <n v="1"/>
    <x v="14"/>
    <x v="15"/>
  </r>
  <r>
    <x v="0"/>
    <n v="2"/>
    <x v="15"/>
    <x v="16"/>
  </r>
  <r>
    <x v="1"/>
    <n v="12"/>
    <x v="16"/>
    <x v="17"/>
  </r>
  <r>
    <x v="1"/>
    <n v="6"/>
    <x v="17"/>
    <x v="18"/>
  </r>
  <r>
    <x v="3"/>
    <n v="2"/>
    <x v="18"/>
    <x v="19"/>
  </r>
</pivotCacheRecords>
</file>

<file path=xl/pivotCache/pivotCacheRecords2.xml><?xml version="1.0" encoding="utf-8"?>
<pivotCacheRecords xmlns="http://schemas.openxmlformats.org/spreadsheetml/2006/main" xmlns:r="http://schemas.openxmlformats.org/officeDocument/2006/relationships" count="20">
  <r>
    <x v="0"/>
    <x v="0"/>
    <x v="0"/>
    <x v="0"/>
    <n v="2"/>
    <n v="95000"/>
    <n v="190000"/>
  </r>
  <r>
    <x v="1"/>
    <x v="1"/>
    <x v="1"/>
    <x v="1"/>
    <n v="8"/>
    <n v="1800"/>
    <n v="14400"/>
  </r>
  <r>
    <x v="2"/>
    <x v="2"/>
    <x v="2"/>
    <x v="1"/>
    <n v="5"/>
    <n v="3200"/>
    <n v="16000"/>
  </r>
  <r>
    <x v="3"/>
    <x v="3"/>
    <x v="3"/>
    <x v="0"/>
    <n v="3"/>
    <n v="42000"/>
    <n v="126000"/>
  </r>
  <r>
    <x v="0"/>
    <x v="0"/>
    <x v="4"/>
    <x v="2"/>
    <n v="2"/>
    <n v="28000"/>
    <n v="56000"/>
  </r>
  <r>
    <x v="1"/>
    <x v="1"/>
    <x v="5"/>
    <x v="3"/>
    <n v="4"/>
    <n v="12000"/>
    <n v="48000"/>
  </r>
  <r>
    <x v="2"/>
    <x v="2"/>
    <x v="6"/>
    <x v="3"/>
    <n v="1"/>
    <n v="35000"/>
    <n v="35000"/>
  </r>
  <r>
    <x v="3"/>
    <x v="3"/>
    <x v="0"/>
    <x v="0"/>
    <n v="2"/>
    <n v="97000"/>
    <n v="194000"/>
  </r>
  <r>
    <x v="0"/>
    <x v="0"/>
    <x v="1"/>
    <x v="1"/>
    <n v="10"/>
    <n v="1800"/>
    <n v="18000"/>
  </r>
  <r>
    <x v="1"/>
    <x v="1"/>
    <x v="3"/>
    <x v="0"/>
    <n v="1"/>
    <n v="43000"/>
    <n v="43000"/>
  </r>
  <r>
    <x v="2"/>
    <x v="2"/>
    <x v="0"/>
    <x v="0"/>
    <n v="1"/>
    <n v="98000"/>
    <n v="98000"/>
  </r>
  <r>
    <x v="3"/>
    <x v="3"/>
    <x v="2"/>
    <x v="1"/>
    <n v="7"/>
    <n v="3300"/>
    <n v="23100"/>
  </r>
  <r>
    <x v="0"/>
    <x v="0"/>
    <x v="6"/>
    <x v="3"/>
    <n v="1"/>
    <n v="36000"/>
    <n v="36000"/>
  </r>
  <r>
    <x v="1"/>
    <x v="1"/>
    <x v="4"/>
    <x v="2"/>
    <n v="3"/>
    <n v="28500"/>
    <n v="85500"/>
  </r>
  <r>
    <x v="2"/>
    <x v="2"/>
    <x v="5"/>
    <x v="3"/>
    <n v="5"/>
    <n v="11800"/>
    <n v="59000"/>
  </r>
  <r>
    <x v="3"/>
    <x v="3"/>
    <x v="0"/>
    <x v="0"/>
    <n v="1"/>
    <n v="96000"/>
    <n v="96000"/>
  </r>
  <r>
    <x v="0"/>
    <x v="0"/>
    <x v="3"/>
    <x v="0"/>
    <n v="2"/>
    <n v="42500"/>
    <n v="85000"/>
  </r>
  <r>
    <x v="1"/>
    <x v="1"/>
    <x v="1"/>
    <x v="1"/>
    <n v="12"/>
    <n v="1750"/>
    <n v="21000"/>
  </r>
  <r>
    <x v="2"/>
    <x v="2"/>
    <x v="2"/>
    <x v="1"/>
    <n v="6"/>
    <n v="3250"/>
    <n v="19500"/>
  </r>
  <r>
    <x v="3"/>
    <x v="3"/>
    <x v="6"/>
    <x v="3"/>
    <n v="2"/>
    <n v="35500"/>
    <n v="7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P46:Q54" firstHeaderRow="1" firstDataRow="1" firstDataCol="1"/>
  <pivotFields count="7">
    <pivotField showAll="0"/>
    <pivotField showAll="0"/>
    <pivotField axis="axisRow" showAll="0">
      <items count="8">
        <item x="5"/>
        <item x="6"/>
        <item x="2"/>
        <item x="0"/>
        <item x="3"/>
        <item x="1"/>
        <item x="4"/>
        <item t="default"/>
      </items>
    </pivotField>
    <pivotField showAll="0"/>
    <pivotField showAll="0"/>
    <pivotField dataField="1" showAll="0"/>
    <pivotField showAll="0"/>
  </pivotFields>
  <rowFields count="1">
    <field x="2"/>
  </rowFields>
  <rowItems count="8">
    <i>
      <x/>
    </i>
    <i>
      <x v="1"/>
    </i>
    <i>
      <x v="2"/>
    </i>
    <i>
      <x v="3"/>
    </i>
    <i>
      <x v="4"/>
    </i>
    <i>
      <x v="5"/>
    </i>
    <i>
      <x v="6"/>
    </i>
    <i t="grand">
      <x/>
    </i>
  </rowItems>
  <colItems count="1">
    <i/>
  </colItems>
  <dataFields count="1">
    <dataField name="Sum of Unit Price(PKR)"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I2:J7" firstHeaderRow="1" firstDataRow="1" firstDataCol="1"/>
  <pivotFields count="7">
    <pivotField showAll="0">
      <items count="5">
        <item x="2"/>
        <item x="0"/>
        <item x="3"/>
        <item x="1"/>
        <item t="default"/>
      </items>
    </pivotField>
    <pivotField axis="axisRow" showAll="0">
      <items count="5">
        <item x="2"/>
        <item x="0"/>
        <item x="1"/>
        <item x="3"/>
        <item t="default"/>
      </items>
    </pivotField>
    <pivotField showAll="0"/>
    <pivotField showAll="0"/>
    <pivotField showAll="0"/>
    <pivotField showAll="0"/>
    <pivotField dataField="1" showAll="0"/>
  </pivotFields>
  <rowFields count="1">
    <field x="1"/>
  </rowFields>
  <rowItems count="5">
    <i>
      <x/>
    </i>
    <i>
      <x v="1"/>
    </i>
    <i>
      <x v="2"/>
    </i>
    <i>
      <x v="3"/>
    </i>
    <i t="grand">
      <x/>
    </i>
  </rowItems>
  <colItems count="1">
    <i/>
  </colItems>
  <dataFields count="1">
    <dataField name="Sum of Total Sales" fld="6"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E2:F7" firstHeaderRow="1" firstDataRow="1" firstDataCol="1"/>
  <pivotFields count="7">
    <pivotField axis="axisRow" showAll="0">
      <items count="5">
        <item x="2"/>
        <item x="0"/>
        <item x="3"/>
        <item x="1"/>
        <item t="default"/>
      </items>
    </pivotField>
    <pivotField showAll="0">
      <items count="5">
        <item x="2"/>
        <item x="0"/>
        <item x="1"/>
        <item x="3"/>
        <item t="default"/>
      </items>
    </pivotField>
    <pivotField showAll="0"/>
    <pivotField showAll="0"/>
    <pivotField showAll="0"/>
    <pivotField showAll="0"/>
    <pivotField dataField="1" showAll="0"/>
  </pivotFields>
  <rowFields count="1">
    <field x="0"/>
  </rowFields>
  <rowItems count="5">
    <i>
      <x/>
    </i>
    <i>
      <x v="1"/>
    </i>
    <i>
      <x v="2"/>
    </i>
    <i>
      <x v="3"/>
    </i>
    <i t="grand">
      <x/>
    </i>
  </rowItems>
  <colItems count="1">
    <i/>
  </colItems>
  <dataFields count="1">
    <dataField name="Sum of Total Sales"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2:B7" firstHeaderRow="1" firstDataRow="1" firstDataCol="1"/>
  <pivotFields count="4">
    <pivotField axis="axisRow" showAll="0">
      <items count="5">
        <item x="1"/>
        <item x="0"/>
        <item x="3"/>
        <item x="2"/>
        <item t="default"/>
      </items>
    </pivotField>
    <pivotField showAll="0"/>
    <pivotField showAll="0">
      <items count="20">
        <item h="1" x="16"/>
        <item x="1"/>
        <item h="1" x="2"/>
        <item h="1" x="17"/>
        <item h="1" x="10"/>
        <item h="1" x="13"/>
        <item h="1" x="5"/>
        <item h="1" x="4"/>
        <item h="1" x="12"/>
        <item h="1" x="6"/>
        <item h="1" x="18"/>
        <item h="1" x="11"/>
        <item h="1" x="3"/>
        <item h="1" x="15"/>
        <item h="1" x="8"/>
        <item h="1" x="0"/>
        <item h="1" x="14"/>
        <item h="1" x="7"/>
        <item h="1" x="9"/>
        <item t="default"/>
      </items>
    </pivotField>
    <pivotField dataField="1" showAll="0">
      <items count="21">
        <item x="1"/>
        <item x="2"/>
        <item x="8"/>
        <item x="18"/>
        <item x="17"/>
        <item x="11"/>
        <item x="6"/>
        <item x="12"/>
        <item x="9"/>
        <item x="5"/>
        <item x="4"/>
        <item x="14"/>
        <item x="19"/>
        <item x="16"/>
        <item x="13"/>
        <item x="15"/>
        <item x="10"/>
        <item x="3"/>
        <item x="0"/>
        <item x="7"/>
        <item t="default"/>
      </items>
    </pivotField>
  </pivotFields>
  <rowFields count="1">
    <field x="0"/>
  </rowFields>
  <rowItems count="5">
    <i>
      <x/>
    </i>
    <i>
      <x v="1"/>
    </i>
    <i>
      <x v="2"/>
    </i>
    <i>
      <x v="3"/>
    </i>
    <i t="grand">
      <x/>
    </i>
  </rowItems>
  <colItems count="1">
    <i/>
  </colItems>
  <dataFields count="1">
    <dataField name="Sum of Total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2"/>
  </pivotTables>
  <data>
    <tabular pivotCacheId="1">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otal_Sales" sourceName="Total Sales">
  <pivotTables>
    <pivotTable tabId="2" name="PivotTable2"/>
  </pivotTables>
  <data>
    <tabular pivotCacheId="1">
      <items count="20">
        <i x="1" s="1"/>
        <i x="2" s="1"/>
        <i x="8" s="1"/>
        <i x="18" s="1"/>
        <i x="17" s="1"/>
        <i x="11" s="1"/>
        <i x="6" s="1"/>
        <i x="12" s="1"/>
        <i x="9" s="1"/>
        <i x="5" s="1"/>
        <i x="4" s="1"/>
        <i x="14" s="1"/>
        <i x="19" s="1"/>
        <i x="16" s="1"/>
        <i x="13" s="1"/>
        <i x="15" s="1"/>
        <i x="10" s="1"/>
        <i x="3" s="1"/>
        <i x="0"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34950"/>
  <slicer name="Total Sales" cache="Slicer_Total_Sales" caption="Total Sales" rowHeight="234950"/>
</slicers>
</file>

<file path=xl/tables/table1.xml><?xml version="1.0" encoding="utf-8"?>
<table xmlns="http://schemas.openxmlformats.org/spreadsheetml/2006/main" id="1" name="Table1" displayName="Table1" ref="A4:G25" totalsRowCount="1" headerRowDxfId="12" totalsRowDxfId="9" headerRowBorderDxfId="11" tableBorderDxfId="10" totalsRowBorderDxfId="8">
  <autoFilter ref="A4:G24"/>
  <tableColumns count="7">
    <tableColumn id="1" name="Salesperson" totalsRowLabel="Total" totalsRowDxfId="7"/>
    <tableColumn id="2" name="Region" totalsRowDxfId="6"/>
    <tableColumn id="3" name="Product" totalsRowDxfId="5"/>
    <tableColumn id="4" name="Category" totalsRowDxfId="4"/>
    <tableColumn id="5" name="Units" totalsRowFunction="sum" totalsRowDxfId="3"/>
    <tableColumn id="6" name="Unit Price(PKR)" dataDxfId="2" totalsRowDxfId="1"/>
    <tableColumn id="7" name="Total Sales" totalsRowFunction="sum" dataDxfId="0">
      <calculatedColumnFormula>Table1[[#This Row],[Units]]*Table1[[#This Row],[Unit Price(PKR)]]</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7"/>
  <sheetViews>
    <sheetView tabSelected="1" topLeftCell="A26" zoomScale="80" zoomScaleNormal="80" workbookViewId="0">
      <selection activeCell="R36" sqref="R36"/>
    </sheetView>
  </sheetViews>
  <sheetFormatPr defaultRowHeight="14.4" x14ac:dyDescent="0.3"/>
  <cols>
    <col min="1" max="1" width="12.5546875" customWidth="1"/>
    <col min="2" max="2" width="16.44140625" bestFit="1" customWidth="1"/>
    <col min="3" max="3" width="12.33203125" customWidth="1"/>
    <col min="4" max="4" width="10.44140625" bestFit="1" customWidth="1"/>
    <col min="6" max="6" width="15.6640625" customWidth="1"/>
    <col min="7" max="7" width="15" bestFit="1" customWidth="1"/>
    <col min="10" max="10" width="14.44140625" bestFit="1" customWidth="1"/>
    <col min="11" max="11" width="15" bestFit="1" customWidth="1"/>
    <col min="13" max="13" width="12.5546875" customWidth="1"/>
    <col min="14" max="14" width="16.44140625" customWidth="1"/>
    <col min="16" max="16" width="15.6640625" bestFit="1" customWidth="1"/>
    <col min="17" max="17" width="25.21875" bestFit="1" customWidth="1"/>
    <col min="18" max="18" width="15.6640625" customWidth="1"/>
    <col min="19" max="19" width="25.21875" bestFit="1" customWidth="1"/>
  </cols>
  <sheetData>
    <row r="1" spans="1:11" ht="23.4" x14ac:dyDescent="0.45">
      <c r="A1" s="1"/>
      <c r="B1" s="1"/>
      <c r="C1" s="2" t="s">
        <v>0</v>
      </c>
      <c r="D1" s="1"/>
      <c r="E1" s="1"/>
    </row>
    <row r="3" spans="1:11" ht="18.600000000000001" thickBot="1" x14ac:dyDescent="0.4">
      <c r="A3" s="3" t="s">
        <v>1</v>
      </c>
    </row>
    <row r="4" spans="1:11" x14ac:dyDescent="0.3">
      <c r="A4" s="4" t="s">
        <v>2</v>
      </c>
      <c r="B4" s="4" t="s">
        <v>3</v>
      </c>
      <c r="C4" s="4" t="s">
        <v>4</v>
      </c>
      <c r="D4" s="4" t="s">
        <v>5</v>
      </c>
      <c r="E4" s="4" t="s">
        <v>6</v>
      </c>
      <c r="F4" s="4" t="s">
        <v>7</v>
      </c>
      <c r="G4" s="4" t="s">
        <v>27</v>
      </c>
      <c r="J4" s="17" t="s">
        <v>28</v>
      </c>
      <c r="K4" s="18" t="s">
        <v>35</v>
      </c>
    </row>
    <row r="5" spans="1:11" x14ac:dyDescent="0.3">
      <c r="A5" t="s">
        <v>8</v>
      </c>
      <c r="B5" t="s">
        <v>12</v>
      </c>
      <c r="C5" t="s">
        <v>16</v>
      </c>
      <c r="D5" t="s">
        <v>23</v>
      </c>
      <c r="E5">
        <v>2</v>
      </c>
      <c r="F5" s="10">
        <v>95000</v>
      </c>
      <c r="G5" s="10">
        <f>Table1[[#This Row],[Units]]*Table1[[#This Row],[Unit Price(PKR)]]</f>
        <v>190000</v>
      </c>
      <c r="J5" s="12" t="s">
        <v>29</v>
      </c>
      <c r="K5" s="13">
        <f>Table1[[#Totals],[Total Sales]]</f>
        <v>1334500</v>
      </c>
    </row>
    <row r="6" spans="1:11" x14ac:dyDescent="0.3">
      <c r="A6" t="s">
        <v>9</v>
      </c>
      <c r="B6" t="s">
        <v>13</v>
      </c>
      <c r="C6" t="s">
        <v>17</v>
      </c>
      <c r="D6" t="s">
        <v>24</v>
      </c>
      <c r="E6">
        <v>8</v>
      </c>
      <c r="F6" s="10">
        <v>1800</v>
      </c>
      <c r="G6" s="10">
        <f>Table1[[#This Row],[Units]]*Table1[[#This Row],[Unit Price(PKR)]]</f>
        <v>14400</v>
      </c>
      <c r="J6" s="12" t="s">
        <v>30</v>
      </c>
      <c r="K6" s="14">
        <f>Table1[[#Totals],[Units]]</f>
        <v>78</v>
      </c>
    </row>
    <row r="7" spans="1:11" x14ac:dyDescent="0.3">
      <c r="A7" t="s">
        <v>10</v>
      </c>
      <c r="B7" t="s">
        <v>14</v>
      </c>
      <c r="C7" t="s">
        <v>18</v>
      </c>
      <c r="D7" t="s">
        <v>24</v>
      </c>
      <c r="E7">
        <v>5</v>
      </c>
      <c r="F7" s="10">
        <v>3200</v>
      </c>
      <c r="G7" s="10">
        <f>Table1[[#This Row],[Units]]*Table1[[#This Row],[Unit Price(PKR)]]</f>
        <v>16000</v>
      </c>
      <c r="J7" s="12" t="s">
        <v>31</v>
      </c>
      <c r="K7" s="13">
        <f>AVERAGE(Table1[Total Sales])</f>
        <v>66725</v>
      </c>
    </row>
    <row r="8" spans="1:11" x14ac:dyDescent="0.3">
      <c r="A8" t="s">
        <v>11</v>
      </c>
      <c r="B8" t="s">
        <v>15</v>
      </c>
      <c r="C8" t="s">
        <v>19</v>
      </c>
      <c r="D8" t="s">
        <v>23</v>
      </c>
      <c r="E8">
        <v>3</v>
      </c>
      <c r="F8" s="10">
        <v>42000</v>
      </c>
      <c r="G8" s="10">
        <f>Table1[[#This Row],[Units]]*Table1[[#This Row],[Unit Price(PKR)]]</f>
        <v>126000</v>
      </c>
      <c r="J8" s="12" t="s">
        <v>32</v>
      </c>
      <c r="K8" s="13">
        <f>MAX(Table1[Total Sales])</f>
        <v>194000</v>
      </c>
    </row>
    <row r="9" spans="1:11" x14ac:dyDescent="0.3">
      <c r="A9" t="s">
        <v>8</v>
      </c>
      <c r="B9" t="s">
        <v>12</v>
      </c>
      <c r="C9" t="s">
        <v>20</v>
      </c>
      <c r="D9" t="s">
        <v>25</v>
      </c>
      <c r="E9">
        <v>2</v>
      </c>
      <c r="F9" s="10">
        <v>28000</v>
      </c>
      <c r="G9" s="10">
        <f>Table1[[#This Row],[Units]]*Table1[[#This Row],[Unit Price(PKR)]]</f>
        <v>56000</v>
      </c>
      <c r="J9" s="12" t="s">
        <v>33</v>
      </c>
      <c r="K9" s="13">
        <f>MIN(Table1[Total Sales])</f>
        <v>14400</v>
      </c>
    </row>
    <row r="10" spans="1:11" ht="15" thickBot="1" x14ac:dyDescent="0.35">
      <c r="A10" t="s">
        <v>9</v>
      </c>
      <c r="B10" t="s">
        <v>13</v>
      </c>
      <c r="C10" t="s">
        <v>21</v>
      </c>
      <c r="D10" t="s">
        <v>26</v>
      </c>
      <c r="E10">
        <v>4</v>
      </c>
      <c r="F10" s="10">
        <v>12000</v>
      </c>
      <c r="G10" s="10">
        <f>Table1[[#This Row],[Units]]*Table1[[#This Row],[Unit Price(PKR)]]</f>
        <v>48000</v>
      </c>
      <c r="J10" s="15" t="s">
        <v>34</v>
      </c>
      <c r="K10" s="16">
        <f>COUNTA(Table1[Units])</f>
        <v>20</v>
      </c>
    </row>
    <row r="11" spans="1:11" x14ac:dyDescent="0.3">
      <c r="A11" t="s">
        <v>10</v>
      </c>
      <c r="B11" t="s">
        <v>14</v>
      </c>
      <c r="C11" t="s">
        <v>22</v>
      </c>
      <c r="D11" t="s">
        <v>26</v>
      </c>
      <c r="E11">
        <v>1</v>
      </c>
      <c r="F11" s="10">
        <v>35000</v>
      </c>
      <c r="G11" s="10">
        <f>Table1[[#This Row],[Units]]*Table1[[#This Row],[Unit Price(PKR)]]</f>
        <v>35000</v>
      </c>
    </row>
    <row r="12" spans="1:11" x14ac:dyDescent="0.3">
      <c r="A12" t="s">
        <v>11</v>
      </c>
      <c r="B12" t="s">
        <v>15</v>
      </c>
      <c r="C12" t="s">
        <v>16</v>
      </c>
      <c r="D12" t="s">
        <v>23</v>
      </c>
      <c r="E12">
        <v>2</v>
      </c>
      <c r="F12" s="10">
        <v>97000</v>
      </c>
      <c r="G12" s="10">
        <f>Table1[[#This Row],[Units]]*Table1[[#This Row],[Unit Price(PKR)]]</f>
        <v>194000</v>
      </c>
    </row>
    <row r="13" spans="1:11" x14ac:dyDescent="0.3">
      <c r="A13" t="s">
        <v>8</v>
      </c>
      <c r="B13" t="s">
        <v>12</v>
      </c>
      <c r="C13" t="s">
        <v>17</v>
      </c>
      <c r="D13" t="s">
        <v>24</v>
      </c>
      <c r="E13">
        <v>10</v>
      </c>
      <c r="F13" s="10">
        <v>1800</v>
      </c>
      <c r="G13" s="10">
        <f>Table1[[#This Row],[Units]]*Table1[[#This Row],[Unit Price(PKR)]]</f>
        <v>18000</v>
      </c>
    </row>
    <row r="14" spans="1:11" x14ac:dyDescent="0.3">
      <c r="A14" t="s">
        <v>9</v>
      </c>
      <c r="B14" t="s">
        <v>13</v>
      </c>
      <c r="C14" t="s">
        <v>19</v>
      </c>
      <c r="D14" t="s">
        <v>23</v>
      </c>
      <c r="E14">
        <v>1</v>
      </c>
      <c r="F14" s="10">
        <v>43000</v>
      </c>
      <c r="G14" s="10">
        <f>Table1[[#This Row],[Units]]*Table1[[#This Row],[Unit Price(PKR)]]</f>
        <v>43000</v>
      </c>
    </row>
    <row r="15" spans="1:11" x14ac:dyDescent="0.3">
      <c r="A15" t="s">
        <v>10</v>
      </c>
      <c r="B15" t="s">
        <v>14</v>
      </c>
      <c r="C15" t="s">
        <v>16</v>
      </c>
      <c r="D15" t="s">
        <v>23</v>
      </c>
      <c r="E15">
        <v>1</v>
      </c>
      <c r="F15" s="10">
        <v>98000</v>
      </c>
      <c r="G15" s="10">
        <f>Table1[[#This Row],[Units]]*Table1[[#This Row],[Unit Price(PKR)]]</f>
        <v>98000</v>
      </c>
    </row>
    <row r="16" spans="1:11" x14ac:dyDescent="0.3">
      <c r="A16" t="s">
        <v>11</v>
      </c>
      <c r="B16" t="s">
        <v>15</v>
      </c>
      <c r="C16" t="s">
        <v>18</v>
      </c>
      <c r="D16" t="s">
        <v>24</v>
      </c>
      <c r="E16">
        <v>7</v>
      </c>
      <c r="F16" s="10">
        <v>3300</v>
      </c>
      <c r="G16" s="10">
        <f>Table1[[#This Row],[Units]]*Table1[[#This Row],[Unit Price(PKR)]]</f>
        <v>23100</v>
      </c>
    </row>
    <row r="17" spans="1:14" x14ac:dyDescent="0.3">
      <c r="A17" t="s">
        <v>8</v>
      </c>
      <c r="B17" t="s">
        <v>12</v>
      </c>
      <c r="C17" t="s">
        <v>22</v>
      </c>
      <c r="D17" t="s">
        <v>26</v>
      </c>
      <c r="E17">
        <v>1</v>
      </c>
      <c r="F17" s="10">
        <v>36000</v>
      </c>
      <c r="G17" s="10">
        <f>Table1[[#This Row],[Units]]*Table1[[#This Row],[Unit Price(PKR)]]</f>
        <v>36000</v>
      </c>
      <c r="M17" s="8"/>
      <c r="N17" s="9"/>
    </row>
    <row r="18" spans="1:14" x14ac:dyDescent="0.3">
      <c r="A18" t="s">
        <v>9</v>
      </c>
      <c r="B18" t="s">
        <v>13</v>
      </c>
      <c r="C18" t="s">
        <v>20</v>
      </c>
      <c r="D18" t="s">
        <v>25</v>
      </c>
      <c r="E18">
        <v>3</v>
      </c>
      <c r="F18" s="10">
        <v>28500</v>
      </c>
      <c r="G18" s="10">
        <f>Table1[[#This Row],[Units]]*Table1[[#This Row],[Unit Price(PKR)]]</f>
        <v>85500</v>
      </c>
      <c r="M18" s="8"/>
      <c r="N18" s="9"/>
    </row>
    <row r="19" spans="1:14" x14ac:dyDescent="0.3">
      <c r="A19" t="s">
        <v>10</v>
      </c>
      <c r="B19" t="s">
        <v>14</v>
      </c>
      <c r="C19" t="s">
        <v>21</v>
      </c>
      <c r="D19" t="s">
        <v>26</v>
      </c>
      <c r="E19">
        <v>5</v>
      </c>
      <c r="F19" s="10">
        <v>11800</v>
      </c>
      <c r="G19" s="10">
        <f>Table1[[#This Row],[Units]]*Table1[[#This Row],[Unit Price(PKR)]]</f>
        <v>59000</v>
      </c>
      <c r="M19" s="8"/>
      <c r="N19" s="9"/>
    </row>
    <row r="20" spans="1:14" x14ac:dyDescent="0.3">
      <c r="A20" t="s">
        <v>11</v>
      </c>
      <c r="B20" t="s">
        <v>15</v>
      </c>
      <c r="C20" t="s">
        <v>16</v>
      </c>
      <c r="D20" t="s">
        <v>23</v>
      </c>
      <c r="E20">
        <v>1</v>
      </c>
      <c r="F20" s="10">
        <v>96000</v>
      </c>
      <c r="G20" s="10">
        <f>Table1[[#This Row],[Units]]*Table1[[#This Row],[Unit Price(PKR)]]</f>
        <v>96000</v>
      </c>
      <c r="M20" s="8"/>
      <c r="N20" s="9"/>
    </row>
    <row r="21" spans="1:14" x14ac:dyDescent="0.3">
      <c r="A21" t="s">
        <v>8</v>
      </c>
      <c r="B21" t="s">
        <v>12</v>
      </c>
      <c r="C21" t="s">
        <v>19</v>
      </c>
      <c r="D21" t="s">
        <v>23</v>
      </c>
      <c r="E21">
        <v>2</v>
      </c>
      <c r="F21" s="10">
        <v>42500</v>
      </c>
      <c r="G21" s="10">
        <f>Table1[[#This Row],[Units]]*Table1[[#This Row],[Unit Price(PKR)]]</f>
        <v>85000</v>
      </c>
      <c r="M21" s="8"/>
      <c r="N21" s="9"/>
    </row>
    <row r="22" spans="1:14" x14ac:dyDescent="0.3">
      <c r="A22" t="s">
        <v>9</v>
      </c>
      <c r="B22" t="s">
        <v>13</v>
      </c>
      <c r="C22" t="s">
        <v>17</v>
      </c>
      <c r="D22" t="s">
        <v>24</v>
      </c>
      <c r="E22">
        <v>12</v>
      </c>
      <c r="F22" s="10">
        <v>1750</v>
      </c>
      <c r="G22" s="10">
        <f>Table1[[#This Row],[Units]]*Table1[[#This Row],[Unit Price(PKR)]]</f>
        <v>21000</v>
      </c>
    </row>
    <row r="23" spans="1:14" x14ac:dyDescent="0.3">
      <c r="A23" t="s">
        <v>10</v>
      </c>
      <c r="B23" t="s">
        <v>14</v>
      </c>
      <c r="C23" t="s">
        <v>18</v>
      </c>
      <c r="D23" t="s">
        <v>24</v>
      </c>
      <c r="E23">
        <v>6</v>
      </c>
      <c r="F23" s="10">
        <v>3250</v>
      </c>
      <c r="G23" s="10">
        <f>Table1[[#This Row],[Units]]*Table1[[#This Row],[Unit Price(PKR)]]</f>
        <v>19500</v>
      </c>
    </row>
    <row r="24" spans="1:14" x14ac:dyDescent="0.3">
      <c r="A24" t="s">
        <v>11</v>
      </c>
      <c r="B24" t="s">
        <v>15</v>
      </c>
      <c r="C24" t="s">
        <v>22</v>
      </c>
      <c r="D24" t="s">
        <v>26</v>
      </c>
      <c r="E24">
        <v>2</v>
      </c>
      <c r="F24" s="10">
        <v>35500</v>
      </c>
      <c r="G24" s="10">
        <f>Table1[[#This Row],[Units]]*Table1[[#This Row],[Unit Price(PKR)]]</f>
        <v>71000</v>
      </c>
    </row>
    <row r="25" spans="1:14" ht="15" thickBot="1" x14ac:dyDescent="0.35">
      <c r="A25" s="6" t="s">
        <v>36</v>
      </c>
      <c r="B25" s="5"/>
      <c r="C25" s="5"/>
      <c r="D25" s="5"/>
      <c r="E25" s="5">
        <f>SUBTOTAL(109,Table1[Units])</f>
        <v>78</v>
      </c>
      <c r="F25" s="11"/>
      <c r="G25" s="11">
        <f>SUBTOTAL(109,Table1[Total Sales])</f>
        <v>1334500</v>
      </c>
    </row>
    <row r="26" spans="1:14" ht="15" thickTop="1" x14ac:dyDescent="0.3"/>
    <row r="46" spans="16:17" x14ac:dyDescent="0.3">
      <c r="P46" s="7" t="s">
        <v>37</v>
      </c>
      <c r="Q46" t="s">
        <v>44</v>
      </c>
    </row>
    <row r="47" spans="16:17" x14ac:dyDescent="0.3">
      <c r="P47" s="8" t="s">
        <v>21</v>
      </c>
      <c r="Q47" s="9">
        <v>23800</v>
      </c>
    </row>
    <row r="48" spans="16:17" x14ac:dyDescent="0.3">
      <c r="P48" s="8" t="s">
        <v>22</v>
      </c>
      <c r="Q48" s="9">
        <v>106500</v>
      </c>
    </row>
    <row r="49" spans="1:17" x14ac:dyDescent="0.3">
      <c r="P49" s="8" t="s">
        <v>18</v>
      </c>
      <c r="Q49" s="9">
        <v>9750</v>
      </c>
    </row>
    <row r="50" spans="1:17" x14ac:dyDescent="0.3">
      <c r="P50" s="8" t="s">
        <v>16</v>
      </c>
      <c r="Q50" s="9">
        <v>386000</v>
      </c>
    </row>
    <row r="51" spans="1:17" x14ac:dyDescent="0.3">
      <c r="P51" s="8" t="s">
        <v>19</v>
      </c>
      <c r="Q51" s="9">
        <v>127500</v>
      </c>
    </row>
    <row r="52" spans="1:17" x14ac:dyDescent="0.3">
      <c r="P52" s="8" t="s">
        <v>17</v>
      </c>
      <c r="Q52" s="9">
        <v>5350</v>
      </c>
    </row>
    <row r="53" spans="1:17" x14ac:dyDescent="0.3">
      <c r="P53" s="8" t="s">
        <v>20</v>
      </c>
      <c r="Q53" s="9">
        <v>56500</v>
      </c>
    </row>
    <row r="54" spans="1:17" x14ac:dyDescent="0.3">
      <c r="P54" s="8" t="s">
        <v>38</v>
      </c>
      <c r="Q54" s="9">
        <v>715400</v>
      </c>
    </row>
    <row r="59" spans="1:17" x14ac:dyDescent="0.3">
      <c r="A59" t="s">
        <v>40</v>
      </c>
    </row>
    <row r="60" spans="1:17" x14ac:dyDescent="0.3">
      <c r="A60" s="8" t="s">
        <v>41</v>
      </c>
      <c r="B60" s="9"/>
    </row>
    <row r="61" spans="1:17" x14ac:dyDescent="0.3">
      <c r="A61" s="8" t="s">
        <v>42</v>
      </c>
      <c r="B61" s="9"/>
    </row>
    <row r="62" spans="1:17" x14ac:dyDescent="0.3">
      <c r="A62" s="8" t="s">
        <v>43</v>
      </c>
      <c r="B62" s="9"/>
    </row>
    <row r="66" spans="1:2" x14ac:dyDescent="0.3">
      <c r="A66" s="8"/>
      <c r="B66" s="9"/>
    </row>
    <row r="67" spans="1:2" x14ac:dyDescent="0.3">
      <c r="A67" s="8"/>
      <c r="B67" s="9"/>
    </row>
  </sheetData>
  <conditionalFormatting sqref="G5:G2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2"/>
  <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7"/>
  <sheetViews>
    <sheetView workbookViewId="0">
      <selection activeCell="A2" sqref="A2:B7"/>
    </sheetView>
  </sheetViews>
  <sheetFormatPr defaultRowHeight="14.4" x14ac:dyDescent="0.3"/>
  <cols>
    <col min="1" max="1" width="12.5546875" bestFit="1" customWidth="1"/>
    <col min="2" max="2" width="16.44140625" bestFit="1" customWidth="1"/>
    <col min="5" max="5" width="12.5546875" customWidth="1"/>
    <col min="6" max="6" width="16.44140625" bestFit="1" customWidth="1"/>
    <col min="7" max="7" width="11.77734375" bestFit="1" customWidth="1"/>
    <col min="9" max="9" width="12.5546875" customWidth="1"/>
    <col min="10" max="10" width="16.44140625" bestFit="1" customWidth="1"/>
  </cols>
  <sheetData>
    <row r="2" spans="1:10" x14ac:dyDescent="0.3">
      <c r="A2" s="7" t="s">
        <v>37</v>
      </c>
      <c r="B2" t="s">
        <v>39</v>
      </c>
      <c r="E2" s="7" t="s">
        <v>37</v>
      </c>
      <c r="F2" t="s">
        <v>39</v>
      </c>
      <c r="I2" s="7" t="s">
        <v>37</v>
      </c>
      <c r="J2" t="s">
        <v>39</v>
      </c>
    </row>
    <row r="3" spans="1:10" x14ac:dyDescent="0.3">
      <c r="A3" s="8" t="s">
        <v>24</v>
      </c>
      <c r="B3" s="9">
        <v>112000</v>
      </c>
      <c r="E3" s="8" t="s">
        <v>10</v>
      </c>
      <c r="F3" s="9">
        <v>227500</v>
      </c>
      <c r="I3" s="8" t="s">
        <v>14</v>
      </c>
      <c r="J3" s="9">
        <v>227500</v>
      </c>
    </row>
    <row r="4" spans="1:10" x14ac:dyDescent="0.3">
      <c r="A4" s="8" t="s">
        <v>23</v>
      </c>
      <c r="B4" s="9">
        <v>832000</v>
      </c>
      <c r="E4" s="8" t="s">
        <v>8</v>
      </c>
      <c r="F4" s="9">
        <v>385000</v>
      </c>
      <c r="I4" s="8" t="s">
        <v>12</v>
      </c>
      <c r="J4" s="9">
        <v>385000</v>
      </c>
    </row>
    <row r="5" spans="1:10" x14ac:dyDescent="0.3">
      <c r="A5" s="8" t="s">
        <v>26</v>
      </c>
      <c r="B5" s="9">
        <v>249000</v>
      </c>
      <c r="E5" s="8" t="s">
        <v>11</v>
      </c>
      <c r="F5" s="9">
        <v>510100</v>
      </c>
      <c r="I5" s="8" t="s">
        <v>13</v>
      </c>
      <c r="J5" s="9">
        <v>211900</v>
      </c>
    </row>
    <row r="6" spans="1:10" x14ac:dyDescent="0.3">
      <c r="A6" s="8" t="s">
        <v>25</v>
      </c>
      <c r="B6" s="9">
        <v>141500</v>
      </c>
      <c r="E6" s="8" t="s">
        <v>9</v>
      </c>
      <c r="F6" s="9">
        <v>211900</v>
      </c>
      <c r="I6" s="8" t="s">
        <v>15</v>
      </c>
      <c r="J6" s="9">
        <v>510100</v>
      </c>
    </row>
    <row r="7" spans="1:10" x14ac:dyDescent="0.3">
      <c r="A7" s="8" t="s">
        <v>38</v>
      </c>
      <c r="B7" s="9">
        <v>1334500</v>
      </c>
      <c r="E7" s="8" t="s">
        <v>38</v>
      </c>
      <c r="F7" s="9">
        <v>1334500</v>
      </c>
      <c r="I7" s="8" t="s">
        <v>38</v>
      </c>
      <c r="J7" s="9">
        <v>1334500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32" sqref="C3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ITSME</dc:creator>
  <cp:lastModifiedBy>ITSME</cp:lastModifiedBy>
  <dcterms:created xsi:type="dcterms:W3CDTF">2026-07-07T14:16:51Z</dcterms:created>
  <dcterms:modified xsi:type="dcterms:W3CDTF">2026-07-13T12:47:19Z</dcterms:modified>
</cp:coreProperties>
</file>